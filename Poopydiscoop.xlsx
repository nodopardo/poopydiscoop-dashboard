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idie\OneDrive\Documentos\CM\"/>
    </mc:Choice>
  </mc:AlternateContent>
  <xr:revisionPtr revIDLastSave="0" documentId="13_ncr:1_{6AC50A0E-55DD-4BB2-8A9D-9A0871C69DF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it 2024" sheetId="5" r:id="rId1"/>
    <sheet name="Shit 2025" sheetId="6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20" i="6" l="1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3" i="6"/>
  <c r="AJ10" i="6"/>
  <c r="AJ18" i="6"/>
  <c r="AJ12" i="6"/>
  <c r="AJ17" i="6"/>
  <c r="AJ3" i="6"/>
  <c r="AJ13" i="6"/>
  <c r="AJ6" i="6"/>
  <c r="AJ16" i="6"/>
  <c r="AJ8" i="6"/>
  <c r="AJ9" i="6"/>
  <c r="AJ15" i="6"/>
  <c r="AJ4" i="6"/>
  <c r="AJ14" i="6"/>
  <c r="AJ7" i="6"/>
  <c r="AJ11" i="6"/>
  <c r="AJ5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B19" i="6"/>
  <c r="AJ5" i="5"/>
  <c r="AJ6" i="5"/>
  <c r="AK6" i="5" s="1"/>
  <c r="AJ7" i="5"/>
  <c r="AJ8" i="5"/>
  <c r="AJ9" i="5"/>
  <c r="AK9" i="5" s="1"/>
  <c r="AJ10" i="5"/>
  <c r="AK10" i="5" s="1"/>
  <c r="AJ11" i="5"/>
  <c r="AK11" i="5" s="1"/>
  <c r="AJ12" i="5"/>
  <c r="AK12" i="5" s="1"/>
  <c r="AJ13" i="5"/>
  <c r="AJ14" i="5"/>
  <c r="AK14" i="5" s="1"/>
  <c r="AJ15" i="5"/>
  <c r="AK15" i="5" s="1"/>
  <c r="AJ16" i="5"/>
  <c r="AK16" i="5" s="1"/>
  <c r="AJ4" i="5"/>
  <c r="AK4" i="5" s="1"/>
  <c r="AJ3" i="5"/>
  <c r="AK3" i="5" s="1"/>
  <c r="AK5" i="5"/>
  <c r="AK8" i="5"/>
  <c r="AK7" i="5"/>
  <c r="AK13" i="5"/>
  <c r="AJ20" i="6" l="1"/>
  <c r="AJ18" i="5"/>
  <c r="AK18" i="5" s="1"/>
</calcChain>
</file>

<file path=xl/sharedStrings.xml><?xml version="1.0" encoding="utf-8"?>
<sst xmlns="http://schemas.openxmlformats.org/spreadsheetml/2006/main" count="72" uniqueCount="21">
  <si>
    <t>Vagner</t>
  </si>
  <si>
    <t>Tama</t>
  </si>
  <si>
    <t>Misa</t>
  </si>
  <si>
    <t>Esteban</t>
  </si>
  <si>
    <t>Miguel</t>
  </si>
  <si>
    <t>Nico</t>
  </si>
  <si>
    <t>Luis</t>
  </si>
  <si>
    <t>Fredo</t>
  </si>
  <si>
    <t>Marcos Javier</t>
  </si>
  <si>
    <t>Miembro</t>
  </si>
  <si>
    <t>Carlos</t>
  </si>
  <si>
    <t>Didi</t>
  </si>
  <si>
    <t>Pablo</t>
  </si>
  <si>
    <t>Andy</t>
  </si>
  <si>
    <t>#KGDs</t>
  </si>
  <si>
    <t>Total</t>
  </si>
  <si>
    <t>KPD</t>
  </si>
  <si>
    <t>Jorge</t>
  </si>
  <si>
    <t>Marcos D</t>
  </si>
  <si>
    <t>Simón</t>
  </si>
  <si>
    <t>Marcos Daniel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</si>
</sst>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8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164" fontId="0" fillId="0" borderId="1" xfId="0" applyNumberFormat="1" applyBorder="1"/>
    <xf numFmtId="0" fontId="2" fillId="0" borderId="1" xfId="0" applyFont="1" applyBorder="1" applyAlignment="1">
      <alignment horizontal="center" vertical="center"/>
    </xf>
    <xf numFmtId="16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" fontId="2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A14A6-224C-4EDF-A34E-3BB5301EADB8}">
  <dimension ref="A2:AK18"/>
  <sheetViews>
    <sheetView zoomScale="90" zoomScaleNormal="90" workbookViewId="0">
      <pane xSplit="1" topLeftCell="O1" activePane="topRight" state="frozen"/>
      <selection pane="topRight" activeCell="AK18" sqref="AK18"/>
    </sheetView>
  </sheetViews>
  <sheetFormatPr defaultColWidth="11.5546875" defaultRowHeight="13.2" x14ac:dyDescent="0.25"/>
  <cols>
    <col min="1" max="1" width="12.44140625" bestFit="1" customWidth="1"/>
    <col min="2" max="10" width="5.21875" bestFit="1" customWidth="1"/>
    <col min="11" max="32" width="6.21875" bestFit="1" customWidth="1"/>
    <col min="33" max="34" width="6.21875" customWidth="1"/>
    <col min="35" max="35" width="12.44140625" bestFit="1" customWidth="1"/>
    <col min="36" max="36" width="7.109375" bestFit="1" customWidth="1"/>
    <col min="37" max="37" width="4.88671875" bestFit="1" customWidth="1"/>
    <col min="38" max="38" width="6.21875" bestFit="1" customWidth="1"/>
  </cols>
  <sheetData>
    <row r="2" spans="1:37" x14ac:dyDescent="0.25">
      <c r="A2" s="5" t="s">
        <v>9</v>
      </c>
      <c r="B2" s="6">
        <v>45992</v>
      </c>
      <c r="C2" s="6">
        <v>45993</v>
      </c>
      <c r="D2" s="6">
        <v>45994</v>
      </c>
      <c r="E2" s="6">
        <v>45995</v>
      </c>
      <c r="F2" s="6">
        <v>45996</v>
      </c>
      <c r="G2" s="6">
        <v>45997</v>
      </c>
      <c r="H2" s="6">
        <v>45998</v>
      </c>
      <c r="I2" s="6">
        <v>45999</v>
      </c>
      <c r="J2" s="6">
        <v>46000</v>
      </c>
      <c r="K2" s="6">
        <v>46001</v>
      </c>
      <c r="L2" s="6">
        <v>46002</v>
      </c>
      <c r="M2" s="6">
        <v>46003</v>
      </c>
      <c r="N2" s="6">
        <v>46004</v>
      </c>
      <c r="O2" s="6">
        <v>46005</v>
      </c>
      <c r="P2" s="6">
        <v>46006</v>
      </c>
      <c r="Q2" s="6">
        <v>46007</v>
      </c>
      <c r="R2" s="6">
        <v>46008</v>
      </c>
      <c r="S2" s="6">
        <v>46009</v>
      </c>
      <c r="T2" s="6">
        <v>46010</v>
      </c>
      <c r="U2" s="6">
        <v>46011</v>
      </c>
      <c r="V2" s="6">
        <v>46012</v>
      </c>
      <c r="W2" s="6">
        <v>46013</v>
      </c>
      <c r="X2" s="6">
        <v>46014</v>
      </c>
      <c r="Y2" s="6">
        <v>46015</v>
      </c>
      <c r="Z2" s="6">
        <v>46016</v>
      </c>
      <c r="AA2" s="6">
        <v>46017</v>
      </c>
      <c r="AB2" s="6">
        <v>46018</v>
      </c>
      <c r="AC2" s="6">
        <v>46019</v>
      </c>
      <c r="AD2" s="6">
        <v>46020</v>
      </c>
      <c r="AE2" s="6">
        <v>46021</v>
      </c>
      <c r="AF2" s="6">
        <v>46022</v>
      </c>
      <c r="AI2" s="5" t="s">
        <v>9</v>
      </c>
      <c r="AJ2" s="5" t="s">
        <v>14</v>
      </c>
      <c r="AK2" s="5" t="s">
        <v>16</v>
      </c>
    </row>
    <row r="3" spans="1:37" x14ac:dyDescent="0.25">
      <c r="A3" s="2" t="s">
        <v>7</v>
      </c>
      <c r="B3" s="7">
        <v>1</v>
      </c>
      <c r="C3" s="7">
        <v>5</v>
      </c>
      <c r="D3" s="7">
        <v>5</v>
      </c>
      <c r="E3" s="7">
        <v>5</v>
      </c>
      <c r="F3" s="7">
        <v>3</v>
      </c>
      <c r="G3" s="7">
        <v>4</v>
      </c>
      <c r="H3" s="7">
        <v>3</v>
      </c>
      <c r="I3" s="7">
        <v>2</v>
      </c>
      <c r="J3" s="7">
        <v>2</v>
      </c>
      <c r="K3" s="7">
        <v>4</v>
      </c>
      <c r="L3" s="7">
        <v>3</v>
      </c>
      <c r="M3" s="7">
        <v>4</v>
      </c>
      <c r="N3" s="7">
        <v>4</v>
      </c>
      <c r="O3" s="7">
        <v>3</v>
      </c>
      <c r="P3" s="7">
        <v>3</v>
      </c>
      <c r="Q3" s="7">
        <v>3</v>
      </c>
      <c r="R3" s="7">
        <v>2</v>
      </c>
      <c r="S3" s="7">
        <v>4</v>
      </c>
      <c r="T3" s="7">
        <v>3</v>
      </c>
      <c r="U3" s="7">
        <v>3</v>
      </c>
      <c r="V3" s="7">
        <v>2</v>
      </c>
      <c r="W3" s="7">
        <v>1</v>
      </c>
      <c r="X3" s="7">
        <v>5</v>
      </c>
      <c r="Y3" s="7">
        <v>3</v>
      </c>
      <c r="Z3" s="7">
        <v>5</v>
      </c>
      <c r="AA3" s="7">
        <v>2</v>
      </c>
      <c r="AB3" s="7">
        <v>1</v>
      </c>
      <c r="AC3" s="7">
        <v>1</v>
      </c>
      <c r="AD3" s="7">
        <v>2</v>
      </c>
      <c r="AE3" s="7">
        <v>7</v>
      </c>
      <c r="AF3" s="7">
        <v>13</v>
      </c>
      <c r="AI3" s="2" t="s">
        <v>7</v>
      </c>
      <c r="AJ3" s="1">
        <f t="shared" ref="AJ3:AJ16" si="0">+SUM($B3:$AF3)</f>
        <v>108</v>
      </c>
      <c r="AK3" s="4">
        <f t="shared" ref="AK3:AK16" si="1">+AJ3/31</f>
        <v>3.4838709677419355</v>
      </c>
    </row>
    <row r="4" spans="1:37" x14ac:dyDescent="0.25">
      <c r="A4" s="2" t="s">
        <v>5</v>
      </c>
      <c r="B4" s="7">
        <v>3</v>
      </c>
      <c r="C4" s="7">
        <v>2</v>
      </c>
      <c r="D4" s="7">
        <v>2</v>
      </c>
      <c r="E4" s="7">
        <v>3</v>
      </c>
      <c r="F4" s="7">
        <v>2</v>
      </c>
      <c r="G4" s="7">
        <v>4</v>
      </c>
      <c r="H4" s="7">
        <v>6</v>
      </c>
      <c r="I4" s="7">
        <v>3</v>
      </c>
      <c r="J4" s="7">
        <v>4</v>
      </c>
      <c r="K4" s="7">
        <v>2</v>
      </c>
      <c r="L4" s="7">
        <v>2</v>
      </c>
      <c r="M4" s="7">
        <v>3</v>
      </c>
      <c r="N4" s="7">
        <v>1</v>
      </c>
      <c r="O4" s="7">
        <v>6</v>
      </c>
      <c r="P4" s="7">
        <v>4</v>
      </c>
      <c r="Q4" s="7">
        <v>3</v>
      </c>
      <c r="R4" s="7">
        <v>4</v>
      </c>
      <c r="S4" s="7">
        <v>3</v>
      </c>
      <c r="T4" s="7">
        <v>2</v>
      </c>
      <c r="U4" s="7">
        <v>3</v>
      </c>
      <c r="V4" s="7">
        <v>1</v>
      </c>
      <c r="W4" s="7">
        <v>3</v>
      </c>
      <c r="X4" s="7">
        <v>5</v>
      </c>
      <c r="Y4" s="7">
        <v>4</v>
      </c>
      <c r="Z4" s="7">
        <v>5</v>
      </c>
      <c r="AA4" s="7">
        <v>3</v>
      </c>
      <c r="AB4" s="7">
        <v>1</v>
      </c>
      <c r="AC4" s="7">
        <v>5</v>
      </c>
      <c r="AD4" s="7">
        <v>4</v>
      </c>
      <c r="AE4" s="7">
        <v>4</v>
      </c>
      <c r="AF4" s="7">
        <v>5</v>
      </c>
      <c r="AI4" s="2" t="s">
        <v>5</v>
      </c>
      <c r="AJ4" s="1">
        <f t="shared" si="0"/>
        <v>102</v>
      </c>
      <c r="AK4" s="4">
        <f t="shared" si="1"/>
        <v>3.2903225806451615</v>
      </c>
    </row>
    <row r="5" spans="1:37" x14ac:dyDescent="0.25">
      <c r="A5" s="2" t="s">
        <v>4</v>
      </c>
      <c r="B5" s="7">
        <v>2</v>
      </c>
      <c r="C5" s="7">
        <v>1</v>
      </c>
      <c r="D5" s="7">
        <v>2</v>
      </c>
      <c r="E5" s="7">
        <v>1</v>
      </c>
      <c r="F5" s="7">
        <v>1</v>
      </c>
      <c r="G5" s="7">
        <v>2</v>
      </c>
      <c r="H5" s="7">
        <v>1</v>
      </c>
      <c r="I5" s="7">
        <v>3</v>
      </c>
      <c r="J5" s="7">
        <v>1</v>
      </c>
      <c r="K5" s="7">
        <v>1</v>
      </c>
      <c r="L5" s="7">
        <v>3</v>
      </c>
      <c r="M5" s="7">
        <v>2</v>
      </c>
      <c r="N5" s="7">
        <v>3</v>
      </c>
      <c r="O5" s="7">
        <v>3</v>
      </c>
      <c r="P5" s="7">
        <v>3</v>
      </c>
      <c r="Q5" s="7">
        <v>2</v>
      </c>
      <c r="R5" s="7">
        <v>2</v>
      </c>
      <c r="S5" s="7">
        <v>3</v>
      </c>
      <c r="T5" s="7">
        <v>3</v>
      </c>
      <c r="U5" s="7">
        <v>2</v>
      </c>
      <c r="V5" s="7">
        <v>2</v>
      </c>
      <c r="W5" s="7">
        <v>2</v>
      </c>
      <c r="X5" s="7">
        <v>1</v>
      </c>
      <c r="Y5" s="7">
        <v>2</v>
      </c>
      <c r="Z5" s="7">
        <v>2</v>
      </c>
      <c r="AA5" s="7">
        <v>4</v>
      </c>
      <c r="AB5" s="7">
        <v>4</v>
      </c>
      <c r="AC5" s="7">
        <v>2</v>
      </c>
      <c r="AD5" s="7">
        <v>2</v>
      </c>
      <c r="AE5" s="7">
        <v>4</v>
      </c>
      <c r="AF5" s="7">
        <v>5</v>
      </c>
      <c r="AI5" s="2" t="s">
        <v>4</v>
      </c>
      <c r="AJ5" s="1">
        <f t="shared" si="0"/>
        <v>71</v>
      </c>
      <c r="AK5" s="4">
        <f t="shared" si="1"/>
        <v>2.2903225806451615</v>
      </c>
    </row>
    <row r="6" spans="1:37" x14ac:dyDescent="0.25">
      <c r="A6" s="2" t="s">
        <v>18</v>
      </c>
      <c r="B6" s="7">
        <v>4</v>
      </c>
      <c r="C6" s="7">
        <v>1</v>
      </c>
      <c r="D6" s="7">
        <v>1</v>
      </c>
      <c r="E6" s="7">
        <v>3</v>
      </c>
      <c r="F6" s="7">
        <v>1</v>
      </c>
      <c r="G6" s="7">
        <v>2</v>
      </c>
      <c r="H6" s="7">
        <v>0</v>
      </c>
      <c r="I6" s="7">
        <v>2</v>
      </c>
      <c r="J6" s="7">
        <v>2</v>
      </c>
      <c r="K6" s="7">
        <v>3</v>
      </c>
      <c r="L6" s="7">
        <v>1</v>
      </c>
      <c r="M6" s="7">
        <v>2</v>
      </c>
      <c r="N6" s="7">
        <v>2</v>
      </c>
      <c r="O6" s="7">
        <v>0</v>
      </c>
      <c r="P6" s="7">
        <v>3</v>
      </c>
      <c r="Q6" s="7">
        <v>1</v>
      </c>
      <c r="R6" s="7">
        <v>5</v>
      </c>
      <c r="S6" s="7">
        <v>2</v>
      </c>
      <c r="T6" s="7">
        <v>1</v>
      </c>
      <c r="U6" s="7">
        <v>1</v>
      </c>
      <c r="V6" s="7">
        <v>1</v>
      </c>
      <c r="W6" s="7">
        <v>1</v>
      </c>
      <c r="X6" s="7">
        <v>3</v>
      </c>
      <c r="Y6" s="7">
        <v>2</v>
      </c>
      <c r="Z6" s="7">
        <v>8</v>
      </c>
      <c r="AA6" s="7">
        <v>2</v>
      </c>
      <c r="AB6" s="7">
        <v>2</v>
      </c>
      <c r="AC6" s="7">
        <v>1</v>
      </c>
      <c r="AD6" s="7">
        <v>2</v>
      </c>
      <c r="AE6" s="7">
        <v>1</v>
      </c>
      <c r="AF6" s="7">
        <v>1</v>
      </c>
      <c r="AI6" s="2" t="s">
        <v>18</v>
      </c>
      <c r="AJ6" s="1">
        <f t="shared" si="0"/>
        <v>61</v>
      </c>
      <c r="AK6" s="4">
        <f t="shared" si="1"/>
        <v>1.967741935483871</v>
      </c>
    </row>
    <row r="7" spans="1:37" x14ac:dyDescent="0.25">
      <c r="A7" s="2" t="s">
        <v>13</v>
      </c>
      <c r="B7" s="7">
        <v>1</v>
      </c>
      <c r="C7" s="7">
        <v>2</v>
      </c>
      <c r="D7" s="7">
        <v>0</v>
      </c>
      <c r="E7" s="7">
        <v>3</v>
      </c>
      <c r="F7" s="7">
        <v>1</v>
      </c>
      <c r="G7" s="7">
        <v>1</v>
      </c>
      <c r="H7" s="7">
        <v>2</v>
      </c>
      <c r="I7" s="7">
        <v>1</v>
      </c>
      <c r="J7" s="7">
        <v>2</v>
      </c>
      <c r="K7" s="7">
        <v>2</v>
      </c>
      <c r="L7" s="7">
        <v>3</v>
      </c>
      <c r="M7" s="7">
        <v>1</v>
      </c>
      <c r="N7" s="7">
        <v>1</v>
      </c>
      <c r="O7" s="7">
        <v>1</v>
      </c>
      <c r="P7" s="7">
        <v>1</v>
      </c>
      <c r="Q7" s="7">
        <v>2</v>
      </c>
      <c r="R7" s="7">
        <v>1</v>
      </c>
      <c r="S7" s="7">
        <v>3</v>
      </c>
      <c r="T7" s="7">
        <v>2</v>
      </c>
      <c r="U7" s="7">
        <v>1</v>
      </c>
      <c r="V7" s="7">
        <v>1</v>
      </c>
      <c r="W7" s="7">
        <v>1</v>
      </c>
      <c r="X7" s="7">
        <v>3</v>
      </c>
      <c r="Y7" s="7">
        <v>1</v>
      </c>
      <c r="Z7" s="7">
        <v>3</v>
      </c>
      <c r="AA7" s="7">
        <v>1</v>
      </c>
      <c r="AB7" s="7">
        <v>2</v>
      </c>
      <c r="AC7" s="7">
        <v>1</v>
      </c>
      <c r="AD7" s="7">
        <v>2</v>
      </c>
      <c r="AE7" s="7">
        <v>2</v>
      </c>
      <c r="AF7" s="7">
        <v>5</v>
      </c>
      <c r="AI7" s="2" t="s">
        <v>13</v>
      </c>
      <c r="AJ7" s="1">
        <f t="shared" si="0"/>
        <v>53</v>
      </c>
      <c r="AK7" s="4">
        <f t="shared" si="1"/>
        <v>1.7096774193548387</v>
      </c>
    </row>
    <row r="8" spans="1:37" x14ac:dyDescent="0.25">
      <c r="A8" s="2" t="s">
        <v>11</v>
      </c>
      <c r="B8" s="7">
        <v>3</v>
      </c>
      <c r="C8" s="7">
        <v>1</v>
      </c>
      <c r="D8" s="7">
        <v>2</v>
      </c>
      <c r="E8" s="7">
        <v>2</v>
      </c>
      <c r="F8" s="7">
        <v>1</v>
      </c>
      <c r="G8" s="7">
        <v>3</v>
      </c>
      <c r="H8" s="7">
        <v>2</v>
      </c>
      <c r="I8" s="7">
        <v>1</v>
      </c>
      <c r="J8" s="7">
        <v>1</v>
      </c>
      <c r="K8" s="7">
        <v>1</v>
      </c>
      <c r="L8" s="7">
        <v>0</v>
      </c>
      <c r="M8" s="7">
        <v>4</v>
      </c>
      <c r="N8" s="7">
        <v>1</v>
      </c>
      <c r="O8" s="7">
        <v>2</v>
      </c>
      <c r="P8" s="7">
        <v>3</v>
      </c>
      <c r="Q8" s="7">
        <v>0</v>
      </c>
      <c r="R8" s="7">
        <v>2</v>
      </c>
      <c r="S8" s="7">
        <v>1</v>
      </c>
      <c r="T8" s="7">
        <v>3</v>
      </c>
      <c r="U8" s="7">
        <v>2</v>
      </c>
      <c r="V8" s="7">
        <v>1</v>
      </c>
      <c r="W8" s="7">
        <v>3</v>
      </c>
      <c r="X8" s="7">
        <v>2</v>
      </c>
      <c r="Y8" s="7">
        <v>2</v>
      </c>
      <c r="Z8" s="7">
        <v>1</v>
      </c>
      <c r="AA8" s="7">
        <v>0</v>
      </c>
      <c r="AB8" s="7">
        <v>0</v>
      </c>
      <c r="AC8" s="7">
        <v>1</v>
      </c>
      <c r="AD8" s="7">
        <v>3</v>
      </c>
      <c r="AE8" s="7">
        <v>2</v>
      </c>
      <c r="AF8" s="7">
        <v>1</v>
      </c>
      <c r="AI8" s="2" t="s">
        <v>11</v>
      </c>
      <c r="AJ8" s="1">
        <f t="shared" si="0"/>
        <v>51</v>
      </c>
      <c r="AK8" s="4">
        <f t="shared" si="1"/>
        <v>1.6451612903225807</v>
      </c>
    </row>
    <row r="9" spans="1:37" x14ac:dyDescent="0.25">
      <c r="A9" s="2" t="s">
        <v>2</v>
      </c>
      <c r="B9" s="7">
        <v>2</v>
      </c>
      <c r="C9" s="7">
        <v>2</v>
      </c>
      <c r="D9" s="7">
        <v>1</v>
      </c>
      <c r="E9" s="7">
        <v>0</v>
      </c>
      <c r="F9" s="7">
        <v>2</v>
      </c>
      <c r="G9" s="7">
        <v>2</v>
      </c>
      <c r="H9" s="7">
        <v>2</v>
      </c>
      <c r="I9" s="7">
        <v>2</v>
      </c>
      <c r="J9" s="7">
        <v>3</v>
      </c>
      <c r="K9" s="7">
        <v>1</v>
      </c>
      <c r="L9" s="7">
        <v>1</v>
      </c>
      <c r="M9" s="7">
        <v>3</v>
      </c>
      <c r="N9" s="7">
        <v>1</v>
      </c>
      <c r="O9" s="7">
        <v>1</v>
      </c>
      <c r="P9" s="7">
        <v>1</v>
      </c>
      <c r="Q9" s="7">
        <v>1</v>
      </c>
      <c r="R9" s="7">
        <v>2</v>
      </c>
      <c r="S9" s="7">
        <v>1</v>
      </c>
      <c r="T9" s="7">
        <v>1</v>
      </c>
      <c r="U9" s="7">
        <v>2</v>
      </c>
      <c r="V9" s="7">
        <v>2</v>
      </c>
      <c r="W9" s="7">
        <v>2</v>
      </c>
      <c r="X9" s="7">
        <v>1</v>
      </c>
      <c r="Y9" s="7">
        <v>1</v>
      </c>
      <c r="Z9" s="7">
        <v>2</v>
      </c>
      <c r="AA9" s="7">
        <v>1</v>
      </c>
      <c r="AB9" s="7">
        <v>2</v>
      </c>
      <c r="AC9" s="7">
        <v>3</v>
      </c>
      <c r="AD9" s="7">
        <v>3</v>
      </c>
      <c r="AE9" s="7">
        <v>2</v>
      </c>
      <c r="AF9" s="7">
        <v>1</v>
      </c>
      <c r="AI9" s="2" t="s">
        <v>2</v>
      </c>
      <c r="AJ9" s="1">
        <f t="shared" si="0"/>
        <v>51</v>
      </c>
      <c r="AK9" s="4">
        <f t="shared" si="1"/>
        <v>1.6451612903225807</v>
      </c>
    </row>
    <row r="10" spans="1:37" x14ac:dyDescent="0.25">
      <c r="A10" s="2" t="s">
        <v>3</v>
      </c>
      <c r="B10" s="7">
        <v>2</v>
      </c>
      <c r="C10" s="7">
        <v>3</v>
      </c>
      <c r="D10" s="7">
        <v>2</v>
      </c>
      <c r="E10" s="7">
        <v>2</v>
      </c>
      <c r="F10" s="7">
        <v>2</v>
      </c>
      <c r="G10" s="7">
        <v>1</v>
      </c>
      <c r="H10" s="7">
        <v>3</v>
      </c>
      <c r="I10" s="7">
        <v>1</v>
      </c>
      <c r="J10" s="7">
        <v>2</v>
      </c>
      <c r="K10" s="7">
        <v>0</v>
      </c>
      <c r="L10" s="7">
        <v>1</v>
      </c>
      <c r="M10" s="7">
        <v>0</v>
      </c>
      <c r="N10" s="7">
        <v>2</v>
      </c>
      <c r="O10" s="7">
        <v>1</v>
      </c>
      <c r="P10" s="7">
        <v>1</v>
      </c>
      <c r="Q10" s="7">
        <v>2</v>
      </c>
      <c r="R10" s="7">
        <v>3</v>
      </c>
      <c r="S10" s="7">
        <v>2</v>
      </c>
      <c r="T10" s="7">
        <v>1</v>
      </c>
      <c r="U10" s="7">
        <v>1</v>
      </c>
      <c r="V10" s="7">
        <v>1</v>
      </c>
      <c r="W10" s="7">
        <v>2</v>
      </c>
      <c r="X10" s="7">
        <v>1</v>
      </c>
      <c r="Y10" s="7">
        <v>2</v>
      </c>
      <c r="Z10" s="7">
        <v>2</v>
      </c>
      <c r="AA10" s="7">
        <v>2</v>
      </c>
      <c r="AB10" s="7">
        <v>2</v>
      </c>
      <c r="AC10" s="7">
        <v>1</v>
      </c>
      <c r="AD10" s="7">
        <v>1</v>
      </c>
      <c r="AE10" s="7">
        <v>1</v>
      </c>
      <c r="AF10" s="7">
        <v>2</v>
      </c>
      <c r="AI10" s="2" t="s">
        <v>3</v>
      </c>
      <c r="AJ10" s="1">
        <f t="shared" si="0"/>
        <v>49</v>
      </c>
      <c r="AK10" s="4">
        <f t="shared" si="1"/>
        <v>1.5806451612903225</v>
      </c>
    </row>
    <row r="11" spans="1:37" x14ac:dyDescent="0.25">
      <c r="A11" s="2" t="s">
        <v>19</v>
      </c>
      <c r="B11" s="7">
        <v>3</v>
      </c>
      <c r="C11" s="7">
        <v>0</v>
      </c>
      <c r="D11" s="7">
        <v>1</v>
      </c>
      <c r="E11" s="7">
        <v>1</v>
      </c>
      <c r="F11" s="7">
        <v>1</v>
      </c>
      <c r="G11" s="7">
        <v>0</v>
      </c>
      <c r="H11" s="7">
        <v>1</v>
      </c>
      <c r="I11" s="7">
        <v>2</v>
      </c>
      <c r="J11" s="7">
        <v>0</v>
      </c>
      <c r="K11" s="7">
        <v>1</v>
      </c>
      <c r="L11" s="7">
        <v>1</v>
      </c>
      <c r="M11" s="7">
        <v>1</v>
      </c>
      <c r="N11" s="7">
        <v>2</v>
      </c>
      <c r="O11" s="7">
        <v>0</v>
      </c>
      <c r="P11" s="7">
        <v>2</v>
      </c>
      <c r="Q11" s="7">
        <v>1</v>
      </c>
      <c r="R11" s="7">
        <v>2</v>
      </c>
      <c r="S11" s="7">
        <v>1</v>
      </c>
      <c r="T11" s="7">
        <v>2</v>
      </c>
      <c r="U11" s="7">
        <v>2</v>
      </c>
      <c r="V11" s="7">
        <v>1</v>
      </c>
      <c r="W11" s="7">
        <v>2</v>
      </c>
      <c r="X11" s="7">
        <v>4</v>
      </c>
      <c r="Y11" s="7">
        <v>0</v>
      </c>
      <c r="Z11" s="7">
        <v>2</v>
      </c>
      <c r="AA11" s="7">
        <v>1</v>
      </c>
      <c r="AB11" s="7">
        <v>3</v>
      </c>
      <c r="AC11" s="7">
        <v>1</v>
      </c>
      <c r="AD11" s="7">
        <v>1</v>
      </c>
      <c r="AE11" s="7">
        <v>1</v>
      </c>
      <c r="AF11" s="7">
        <v>1</v>
      </c>
      <c r="AI11" s="2" t="s">
        <v>19</v>
      </c>
      <c r="AJ11" s="1">
        <f t="shared" si="0"/>
        <v>41</v>
      </c>
      <c r="AK11" s="4">
        <f t="shared" si="1"/>
        <v>1.3225806451612903</v>
      </c>
    </row>
    <row r="12" spans="1:37" x14ac:dyDescent="0.25">
      <c r="A12" s="2" t="s">
        <v>8</v>
      </c>
      <c r="B12" s="7">
        <v>0</v>
      </c>
      <c r="C12" s="7">
        <v>1</v>
      </c>
      <c r="D12" s="7">
        <v>1</v>
      </c>
      <c r="E12" s="7">
        <v>1</v>
      </c>
      <c r="F12" s="7">
        <v>2</v>
      </c>
      <c r="G12" s="7">
        <v>1</v>
      </c>
      <c r="H12" s="7">
        <v>1</v>
      </c>
      <c r="I12" s="7">
        <v>2</v>
      </c>
      <c r="J12" s="7">
        <v>1</v>
      </c>
      <c r="K12" s="7">
        <v>2</v>
      </c>
      <c r="L12" s="7">
        <v>1</v>
      </c>
      <c r="M12" s="7">
        <v>2</v>
      </c>
      <c r="N12" s="7">
        <v>2</v>
      </c>
      <c r="O12" s="7">
        <v>3</v>
      </c>
      <c r="P12" s="7">
        <v>1</v>
      </c>
      <c r="Q12" s="7">
        <v>2</v>
      </c>
      <c r="R12" s="7">
        <v>2</v>
      </c>
      <c r="S12" s="7">
        <v>0</v>
      </c>
      <c r="T12" s="7">
        <v>1</v>
      </c>
      <c r="U12" s="7">
        <v>2</v>
      </c>
      <c r="V12" s="7">
        <v>0</v>
      </c>
      <c r="W12" s="7">
        <v>1</v>
      </c>
      <c r="X12" s="7">
        <v>0</v>
      </c>
      <c r="Y12" s="7">
        <v>1</v>
      </c>
      <c r="Z12" s="7">
        <v>1</v>
      </c>
      <c r="AA12" s="7">
        <v>1</v>
      </c>
      <c r="AB12" s="7">
        <v>2</v>
      </c>
      <c r="AC12" s="7">
        <v>1</v>
      </c>
      <c r="AD12" s="7">
        <v>0</v>
      </c>
      <c r="AE12" s="7">
        <v>1</v>
      </c>
      <c r="AF12" s="7">
        <v>1</v>
      </c>
      <c r="AI12" s="2" t="s">
        <v>8</v>
      </c>
      <c r="AJ12" s="1">
        <f t="shared" si="0"/>
        <v>37</v>
      </c>
      <c r="AK12" s="4">
        <f t="shared" si="1"/>
        <v>1.1935483870967742</v>
      </c>
    </row>
    <row r="13" spans="1:37" x14ac:dyDescent="0.25">
      <c r="A13" s="2" t="s">
        <v>17</v>
      </c>
      <c r="B13" s="7">
        <v>1</v>
      </c>
      <c r="C13" s="7">
        <v>2</v>
      </c>
      <c r="D13" s="7">
        <v>1</v>
      </c>
      <c r="E13" s="7">
        <v>1</v>
      </c>
      <c r="F13" s="7">
        <v>1</v>
      </c>
      <c r="G13" s="7">
        <v>2</v>
      </c>
      <c r="H13" s="7">
        <v>1</v>
      </c>
      <c r="I13" s="7">
        <v>0</v>
      </c>
      <c r="J13" s="7">
        <v>2</v>
      </c>
      <c r="K13" s="7">
        <v>2</v>
      </c>
      <c r="L13" s="7">
        <v>0</v>
      </c>
      <c r="M13" s="7">
        <v>3</v>
      </c>
      <c r="N13" s="7">
        <v>1</v>
      </c>
      <c r="O13" s="7">
        <v>1</v>
      </c>
      <c r="P13" s="7">
        <v>1</v>
      </c>
      <c r="Q13" s="7">
        <v>1</v>
      </c>
      <c r="R13" s="7">
        <v>0</v>
      </c>
      <c r="S13" s="7">
        <v>0</v>
      </c>
      <c r="T13" s="7">
        <v>4</v>
      </c>
      <c r="U13" s="7">
        <v>1</v>
      </c>
      <c r="V13" s="7">
        <v>1</v>
      </c>
      <c r="W13" s="7">
        <v>1</v>
      </c>
      <c r="X13" s="7">
        <v>1</v>
      </c>
      <c r="Y13" s="7">
        <v>0</v>
      </c>
      <c r="Z13" s="7">
        <v>2</v>
      </c>
      <c r="AA13" s="7">
        <v>0</v>
      </c>
      <c r="AB13" s="7">
        <v>2</v>
      </c>
      <c r="AC13" s="7">
        <v>3</v>
      </c>
      <c r="AD13" s="7">
        <v>1</v>
      </c>
      <c r="AE13" s="7">
        <v>0</v>
      </c>
      <c r="AF13" s="7">
        <v>1</v>
      </c>
      <c r="AI13" s="2" t="s">
        <v>17</v>
      </c>
      <c r="AJ13" s="1">
        <f t="shared" si="0"/>
        <v>37</v>
      </c>
      <c r="AK13" s="4">
        <f t="shared" si="1"/>
        <v>1.1935483870967742</v>
      </c>
    </row>
    <row r="14" spans="1:37" x14ac:dyDescent="0.25">
      <c r="A14" s="2" t="s">
        <v>6</v>
      </c>
      <c r="B14" s="7">
        <v>2</v>
      </c>
      <c r="C14" s="7">
        <v>2</v>
      </c>
      <c r="D14" s="7">
        <v>0</v>
      </c>
      <c r="E14" s="7">
        <v>1</v>
      </c>
      <c r="F14" s="7">
        <v>1</v>
      </c>
      <c r="G14" s="7">
        <v>1</v>
      </c>
      <c r="H14" s="7">
        <v>1</v>
      </c>
      <c r="I14" s="7">
        <v>1</v>
      </c>
      <c r="J14" s="7">
        <v>1</v>
      </c>
      <c r="K14" s="7">
        <v>0</v>
      </c>
      <c r="L14" s="7">
        <v>2</v>
      </c>
      <c r="M14" s="7">
        <v>1</v>
      </c>
      <c r="N14" s="7">
        <v>1</v>
      </c>
      <c r="O14" s="7">
        <v>2</v>
      </c>
      <c r="P14" s="7">
        <v>1</v>
      </c>
      <c r="Q14" s="7">
        <v>1</v>
      </c>
      <c r="R14" s="7">
        <v>0</v>
      </c>
      <c r="S14" s="7">
        <v>2</v>
      </c>
      <c r="T14" s="7">
        <v>0</v>
      </c>
      <c r="U14" s="7">
        <v>1</v>
      </c>
      <c r="V14" s="7">
        <v>2</v>
      </c>
      <c r="W14" s="7">
        <v>2</v>
      </c>
      <c r="X14" s="7">
        <v>1</v>
      </c>
      <c r="Y14" s="7">
        <v>1</v>
      </c>
      <c r="Z14" s="7">
        <v>1</v>
      </c>
      <c r="AA14" s="7">
        <v>1</v>
      </c>
      <c r="AB14" s="7">
        <v>0</v>
      </c>
      <c r="AC14" s="7">
        <v>2</v>
      </c>
      <c r="AD14" s="7">
        <v>1</v>
      </c>
      <c r="AE14" s="7">
        <v>1</v>
      </c>
      <c r="AF14" s="7">
        <v>3</v>
      </c>
      <c r="AI14" s="2" t="s">
        <v>6</v>
      </c>
      <c r="AJ14" s="1">
        <f t="shared" si="0"/>
        <v>36</v>
      </c>
      <c r="AK14" s="4">
        <f t="shared" si="1"/>
        <v>1.1612903225806452</v>
      </c>
    </row>
    <row r="15" spans="1:37" x14ac:dyDescent="0.25">
      <c r="A15" s="2" t="s">
        <v>10</v>
      </c>
      <c r="B15" s="7">
        <v>1</v>
      </c>
      <c r="C15" s="7">
        <v>2</v>
      </c>
      <c r="D15" s="7">
        <v>0</v>
      </c>
      <c r="E15" s="7">
        <v>1</v>
      </c>
      <c r="F15" s="7">
        <v>1</v>
      </c>
      <c r="G15" s="7">
        <v>1</v>
      </c>
      <c r="H15" s="7">
        <v>1</v>
      </c>
      <c r="I15" s="7">
        <v>0</v>
      </c>
      <c r="J15" s="7">
        <v>1</v>
      </c>
      <c r="K15" s="7">
        <v>2</v>
      </c>
      <c r="L15" s="7">
        <v>0</v>
      </c>
      <c r="M15" s="7">
        <v>0</v>
      </c>
      <c r="N15" s="7">
        <v>1</v>
      </c>
      <c r="O15" s="7">
        <v>1</v>
      </c>
      <c r="P15" s="7">
        <v>1</v>
      </c>
      <c r="Q15" s="7">
        <v>0</v>
      </c>
      <c r="R15" s="7">
        <v>0</v>
      </c>
      <c r="S15" s="7">
        <v>1</v>
      </c>
      <c r="T15" s="7">
        <v>0</v>
      </c>
      <c r="U15" s="7">
        <v>1</v>
      </c>
      <c r="V15" s="7">
        <v>0</v>
      </c>
      <c r="W15" s="7">
        <v>1</v>
      </c>
      <c r="X15" s="7">
        <v>1</v>
      </c>
      <c r="Y15" s="7">
        <v>2</v>
      </c>
      <c r="Z15" s="7">
        <v>0</v>
      </c>
      <c r="AA15" s="7">
        <v>2</v>
      </c>
      <c r="AB15" s="7">
        <v>1</v>
      </c>
      <c r="AC15" s="7">
        <v>0</v>
      </c>
      <c r="AD15" s="7">
        <v>1</v>
      </c>
      <c r="AE15" s="7">
        <v>1</v>
      </c>
      <c r="AF15" s="7">
        <v>2</v>
      </c>
      <c r="AI15" s="2" t="s">
        <v>10</v>
      </c>
      <c r="AJ15" s="1">
        <f t="shared" si="0"/>
        <v>26</v>
      </c>
      <c r="AK15" s="4">
        <f t="shared" si="1"/>
        <v>0.83870967741935487</v>
      </c>
    </row>
    <row r="16" spans="1:37" x14ac:dyDescent="0.25">
      <c r="A16" s="2" t="s">
        <v>12</v>
      </c>
      <c r="B16" s="7">
        <v>0</v>
      </c>
      <c r="C16" s="7">
        <v>1</v>
      </c>
      <c r="D16" s="7">
        <v>1</v>
      </c>
      <c r="E16" s="7">
        <v>1</v>
      </c>
      <c r="F16" s="7">
        <v>0</v>
      </c>
      <c r="G16" s="7">
        <v>1</v>
      </c>
      <c r="H16" s="7">
        <v>1</v>
      </c>
      <c r="I16" s="7">
        <v>0</v>
      </c>
      <c r="J16" s="7">
        <v>1</v>
      </c>
      <c r="K16" s="7">
        <v>1</v>
      </c>
      <c r="L16" s="7">
        <v>0</v>
      </c>
      <c r="M16" s="7">
        <v>1</v>
      </c>
      <c r="N16" s="7">
        <v>1</v>
      </c>
      <c r="O16" s="7">
        <v>0</v>
      </c>
      <c r="P16" s="7">
        <v>1</v>
      </c>
      <c r="Q16" s="7">
        <v>1</v>
      </c>
      <c r="R16" s="7">
        <v>1</v>
      </c>
      <c r="S16" s="7">
        <v>0</v>
      </c>
      <c r="T16" s="7">
        <v>1</v>
      </c>
      <c r="U16" s="7">
        <v>0</v>
      </c>
      <c r="V16" s="7">
        <v>1</v>
      </c>
      <c r="W16" s="7">
        <v>0</v>
      </c>
      <c r="X16" s="7">
        <v>0</v>
      </c>
      <c r="Y16" s="7">
        <v>0</v>
      </c>
      <c r="Z16" s="7">
        <v>0</v>
      </c>
      <c r="AA16" s="7">
        <v>1</v>
      </c>
      <c r="AB16" s="7">
        <v>0</v>
      </c>
      <c r="AC16" s="7">
        <v>0</v>
      </c>
      <c r="AD16" s="7">
        <v>1</v>
      </c>
      <c r="AE16" s="7">
        <v>0</v>
      </c>
      <c r="AF16" s="7">
        <v>1</v>
      </c>
      <c r="AI16" s="2" t="s">
        <v>12</v>
      </c>
      <c r="AJ16" s="1">
        <f t="shared" si="0"/>
        <v>17</v>
      </c>
      <c r="AK16" s="4">
        <f t="shared" si="1"/>
        <v>0.54838709677419351</v>
      </c>
    </row>
    <row r="17" spans="1:37" x14ac:dyDescent="0.25">
      <c r="A17" s="3" t="s">
        <v>15</v>
      </c>
      <c r="B17" s="7">
        <v>25</v>
      </c>
      <c r="C17" s="7">
        <v>25</v>
      </c>
      <c r="D17" s="7">
        <v>19</v>
      </c>
      <c r="E17" s="7">
        <v>25</v>
      </c>
      <c r="F17" s="7">
        <v>19</v>
      </c>
      <c r="G17" s="7">
        <v>25</v>
      </c>
      <c r="H17" s="7">
        <v>25</v>
      </c>
      <c r="I17" s="7">
        <v>20</v>
      </c>
      <c r="J17" s="7">
        <v>23</v>
      </c>
      <c r="K17" s="7">
        <v>22</v>
      </c>
      <c r="L17" s="7">
        <v>18</v>
      </c>
      <c r="M17" s="7">
        <v>27</v>
      </c>
      <c r="N17" s="7">
        <v>23</v>
      </c>
      <c r="O17" s="7">
        <v>24</v>
      </c>
      <c r="P17" s="7">
        <v>26</v>
      </c>
      <c r="Q17" s="7">
        <v>20</v>
      </c>
      <c r="R17" s="7">
        <v>26</v>
      </c>
      <c r="S17" s="7">
        <v>23</v>
      </c>
      <c r="T17" s="7">
        <v>24</v>
      </c>
      <c r="U17" s="7">
        <v>22</v>
      </c>
      <c r="V17" s="7">
        <v>16</v>
      </c>
      <c r="W17" s="7">
        <v>22</v>
      </c>
      <c r="X17" s="7">
        <v>28</v>
      </c>
      <c r="Y17" s="7">
        <v>21</v>
      </c>
      <c r="Z17" s="7">
        <v>34</v>
      </c>
      <c r="AA17" s="7">
        <v>21</v>
      </c>
      <c r="AB17" s="7">
        <v>22</v>
      </c>
      <c r="AC17" s="7">
        <v>22</v>
      </c>
      <c r="AD17" s="7">
        <v>24</v>
      </c>
      <c r="AE17" s="7">
        <v>27</v>
      </c>
      <c r="AF17" s="7">
        <v>42</v>
      </c>
    </row>
    <row r="18" spans="1:37" x14ac:dyDescent="0.25">
      <c r="AI18" s="3" t="s">
        <v>15</v>
      </c>
      <c r="AJ18" s="1">
        <f>+SUM(AJ3:AJ16)</f>
        <v>740</v>
      </c>
      <c r="AK18" s="4">
        <f>+AJ18/31</f>
        <v>23.870967741935484</v>
      </c>
    </row>
  </sheetData>
  <phoneticPr fontId="3" type="noConversion"/>
  <conditionalFormatting sqref="B3:Q16">
    <cfRule type="colorScale" priority="5">
      <colorScale>
        <cfvo type="min"/>
        <cfvo type="max"/>
        <color rgb="FFFCFCFF"/>
        <color rgb="FFF8696B"/>
      </colorScale>
    </cfRule>
  </conditionalFormatting>
  <conditionalFormatting sqref="B3:AF16">
    <cfRule type="colorScale" priority="7">
      <colorScale>
        <cfvo type="min"/>
        <cfvo type="max"/>
        <color rgb="FFFCFCFF"/>
        <color rgb="FFF8696B"/>
      </colorScale>
    </cfRule>
  </conditionalFormatting>
  <conditionalFormatting sqref="B17:AF17">
    <cfRule type="colorScale" priority="1">
      <colorScale>
        <cfvo type="min"/>
        <cfvo type="max"/>
        <color rgb="FFFCFCFF"/>
        <color rgb="FFF8696B"/>
      </colorScale>
    </cfRule>
    <cfRule type="colorScale" priority="3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42E3E-3EA9-408E-8780-0608EFA1BFD0}">
  <dimension ref="A2:AK20"/>
  <sheetViews>
    <sheetView tabSelected="1" zoomScale="90" zoomScaleNormal="90" workbookViewId="0">
      <pane xSplit="1" topLeftCell="E1" activePane="topRight" state="frozen"/>
      <selection pane="topRight" activeCell="V24" sqref="V24"/>
    </sheetView>
  </sheetViews>
  <sheetFormatPr defaultColWidth="11.5546875" defaultRowHeight="13.2" x14ac:dyDescent="0.25"/>
  <cols>
    <col min="1" max="1" width="12.44140625" bestFit="1" customWidth="1"/>
    <col min="2" max="10" width="5.21875" bestFit="1" customWidth="1"/>
    <col min="11" max="32" width="6.21875" bestFit="1" customWidth="1"/>
    <col min="33" max="34" width="6.21875" customWidth="1"/>
    <col min="35" max="35" width="12.44140625" bestFit="1" customWidth="1"/>
    <col min="36" max="36" width="7.109375" bestFit="1" customWidth="1"/>
    <col min="37" max="37" width="4.88671875" bestFit="1" customWidth="1"/>
    <col min="38" max="38" width="6.21875" bestFit="1" customWidth="1"/>
  </cols>
  <sheetData>
    <row r="2" spans="1:37" x14ac:dyDescent="0.25">
      <c r="A2" s="5" t="s">
        <v>9</v>
      </c>
      <c r="B2" s="6">
        <v>45992</v>
      </c>
      <c r="C2" s="6">
        <v>45993</v>
      </c>
      <c r="D2" s="6">
        <v>45994</v>
      </c>
      <c r="E2" s="6">
        <v>45995</v>
      </c>
      <c r="F2" s="6">
        <v>45996</v>
      </c>
      <c r="G2" s="6">
        <v>45997</v>
      </c>
      <c r="H2" s="6">
        <v>45998</v>
      </c>
      <c r="I2" s="6">
        <v>45999</v>
      </c>
      <c r="J2" s="8">
        <v>46000</v>
      </c>
      <c r="K2" s="6">
        <v>46001</v>
      </c>
      <c r="L2" s="6">
        <v>46002</v>
      </c>
      <c r="M2" s="6">
        <v>46003</v>
      </c>
      <c r="N2" s="6">
        <v>46004</v>
      </c>
      <c r="O2" s="6">
        <v>46005</v>
      </c>
      <c r="P2" s="6">
        <v>46006</v>
      </c>
      <c r="Q2" s="6">
        <v>46007</v>
      </c>
      <c r="R2" s="6">
        <v>46008</v>
      </c>
      <c r="S2" s="6">
        <v>46009</v>
      </c>
      <c r="T2" s="6">
        <v>46010</v>
      </c>
      <c r="U2" s="6">
        <v>46011</v>
      </c>
      <c r="V2" s="6">
        <v>46012</v>
      </c>
      <c r="W2" s="6">
        <v>46013</v>
      </c>
      <c r="X2" s="6">
        <v>46014</v>
      </c>
      <c r="Y2" s="6">
        <v>46015</v>
      </c>
      <c r="Z2" s="6">
        <v>46016</v>
      </c>
      <c r="AA2" s="6">
        <v>46017</v>
      </c>
      <c r="AB2" s="6">
        <v>46018</v>
      </c>
      <c r="AC2" s="6">
        <v>46019</v>
      </c>
      <c r="AD2" s="6">
        <v>46020</v>
      </c>
      <c r="AE2" s="6">
        <v>46021</v>
      </c>
      <c r="AF2" s="6">
        <v>46022</v>
      </c>
      <c r="AI2" s="5" t="s">
        <v>9</v>
      </c>
      <c r="AJ2" s="5" t="s">
        <v>14</v>
      </c>
      <c r="AK2" s="5" t="s">
        <v>16</v>
      </c>
    </row>
    <row r="3" spans="1:37" x14ac:dyDescent="0.25">
      <c r="A3" s="2" t="s">
        <v>13</v>
      </c>
      <c r="B3" s="7">
        <v>1</v>
      </c>
      <c r="C3" s="7">
        <v>1</v>
      </c>
      <c r="D3" s="7">
        <v>1</v>
      </c>
      <c r="E3" s="7">
        <v>2</v>
      </c>
      <c r="F3" s="7">
        <v>2</v>
      </c>
      <c r="G3" s="7">
        <v>1</v>
      </c>
      <c r="H3" s="7">
        <v>3</v>
      </c>
      <c r="I3" s="7">
        <v>2</v>
      </c>
      <c r="J3" s="7">
        <v>2</v>
      </c>
      <c r="K3" s="7">
        <v>2</v>
      </c>
      <c r="L3" s="7">
        <v>2</v>
      </c>
      <c r="M3" s="7">
        <v>1</v>
      </c>
      <c r="N3" s="7">
        <v>2</v>
      </c>
      <c r="O3" s="7">
        <v>2</v>
      </c>
      <c r="P3" s="7">
        <v>2</v>
      </c>
      <c r="Q3" s="7">
        <v>1</v>
      </c>
      <c r="R3" s="7">
        <v>2</v>
      </c>
      <c r="S3" s="7">
        <v>2</v>
      </c>
      <c r="T3" s="7">
        <v>2</v>
      </c>
      <c r="U3" s="7">
        <v>3</v>
      </c>
      <c r="V3" s="7">
        <v>1</v>
      </c>
      <c r="W3" s="7">
        <v>2</v>
      </c>
      <c r="X3" s="7">
        <v>2</v>
      </c>
      <c r="Y3" s="7">
        <v>3</v>
      </c>
      <c r="Z3" s="7">
        <v>5</v>
      </c>
      <c r="AA3" s="7">
        <v>2</v>
      </c>
      <c r="AB3" s="7">
        <v>3</v>
      </c>
      <c r="AC3" s="7">
        <v>3</v>
      </c>
      <c r="AD3" s="7">
        <v>1</v>
      </c>
      <c r="AE3" s="7">
        <v>2</v>
      </c>
      <c r="AF3" s="7">
        <v>3</v>
      </c>
      <c r="AI3" s="2" t="s">
        <v>5</v>
      </c>
      <c r="AJ3" s="1">
        <f>+SUM($B$14:$AF$14)</f>
        <v>116</v>
      </c>
      <c r="AK3" s="4">
        <f>+AJ3/31</f>
        <v>3.7419354838709675</v>
      </c>
    </row>
    <row r="4" spans="1:37" x14ac:dyDescent="0.25">
      <c r="A4" s="2" t="s">
        <v>10</v>
      </c>
      <c r="B4" s="7">
        <v>2</v>
      </c>
      <c r="C4" s="7">
        <v>1</v>
      </c>
      <c r="D4" s="7">
        <v>1</v>
      </c>
      <c r="E4" s="7">
        <v>0</v>
      </c>
      <c r="F4" s="7">
        <v>2</v>
      </c>
      <c r="G4" s="7">
        <v>1</v>
      </c>
      <c r="H4" s="7">
        <v>1</v>
      </c>
      <c r="I4" s="7">
        <v>0</v>
      </c>
      <c r="J4" s="7">
        <v>1</v>
      </c>
      <c r="K4" s="7">
        <v>0</v>
      </c>
      <c r="L4" s="7">
        <v>1</v>
      </c>
      <c r="M4" s="7">
        <v>0</v>
      </c>
      <c r="N4" s="7">
        <v>2</v>
      </c>
      <c r="O4" s="7">
        <v>1</v>
      </c>
      <c r="P4" s="7">
        <v>1</v>
      </c>
      <c r="Q4" s="7">
        <v>2</v>
      </c>
      <c r="R4" s="7">
        <v>0</v>
      </c>
      <c r="S4" s="7">
        <v>2</v>
      </c>
      <c r="T4" s="7">
        <v>2</v>
      </c>
      <c r="U4" s="7">
        <v>2</v>
      </c>
      <c r="V4" s="7">
        <v>2</v>
      </c>
      <c r="W4" s="7">
        <v>3</v>
      </c>
      <c r="X4" s="7">
        <v>3</v>
      </c>
      <c r="Y4" s="7">
        <v>2</v>
      </c>
      <c r="Z4" s="7">
        <v>0</v>
      </c>
      <c r="AA4" s="7">
        <v>1</v>
      </c>
      <c r="AB4" s="7">
        <v>1</v>
      </c>
      <c r="AC4" s="7">
        <v>2</v>
      </c>
      <c r="AD4" s="7">
        <v>4</v>
      </c>
      <c r="AE4" s="7">
        <v>0</v>
      </c>
      <c r="AF4" s="7">
        <v>1</v>
      </c>
      <c r="AI4" s="2" t="s">
        <v>7</v>
      </c>
      <c r="AJ4" s="1">
        <f>+SUM($B$7:$AF$7)</f>
        <v>107</v>
      </c>
      <c r="AK4" s="4">
        <f t="shared" ref="AK4:AK18" si="0">+AJ4/31</f>
        <v>3.4516129032258065</v>
      </c>
    </row>
    <row r="5" spans="1:37" x14ac:dyDescent="0.25">
      <c r="A5" s="2" t="s">
        <v>11</v>
      </c>
      <c r="B5" s="7">
        <v>2</v>
      </c>
      <c r="C5" s="7">
        <v>2</v>
      </c>
      <c r="D5" s="7">
        <v>0</v>
      </c>
      <c r="E5" s="7">
        <v>2</v>
      </c>
      <c r="F5" s="7">
        <v>2</v>
      </c>
      <c r="G5" s="7">
        <v>2</v>
      </c>
      <c r="H5" s="7">
        <v>1</v>
      </c>
      <c r="I5" s="7">
        <v>1</v>
      </c>
      <c r="J5" s="7">
        <v>4</v>
      </c>
      <c r="K5" s="7">
        <v>2</v>
      </c>
      <c r="L5" s="7">
        <v>3</v>
      </c>
      <c r="M5" s="7">
        <v>3</v>
      </c>
      <c r="N5" s="7">
        <v>2</v>
      </c>
      <c r="O5" s="7">
        <v>1</v>
      </c>
      <c r="P5" s="7">
        <v>1</v>
      </c>
      <c r="Q5" s="7">
        <v>2</v>
      </c>
      <c r="R5" s="7">
        <v>1</v>
      </c>
      <c r="S5" s="7">
        <v>1</v>
      </c>
      <c r="T5" s="7">
        <v>2</v>
      </c>
      <c r="U5" s="7">
        <v>2</v>
      </c>
      <c r="V5" s="7">
        <v>2</v>
      </c>
      <c r="W5" s="7">
        <v>1</v>
      </c>
      <c r="X5" s="7">
        <v>3</v>
      </c>
      <c r="Y5" s="7">
        <v>0</v>
      </c>
      <c r="Z5" s="7">
        <v>2</v>
      </c>
      <c r="AA5" s="7">
        <v>1</v>
      </c>
      <c r="AB5" s="7">
        <v>1</v>
      </c>
      <c r="AC5" s="7">
        <v>1</v>
      </c>
      <c r="AD5" s="7">
        <v>3</v>
      </c>
      <c r="AE5" s="7">
        <v>2</v>
      </c>
      <c r="AF5" s="7">
        <v>1</v>
      </c>
      <c r="AI5" s="2" t="s">
        <v>13</v>
      </c>
      <c r="AJ5" s="1">
        <f>+SUM($B$3:$AF$3)</f>
        <v>63</v>
      </c>
      <c r="AK5" s="4">
        <f t="shared" si="0"/>
        <v>2.032258064516129</v>
      </c>
    </row>
    <row r="6" spans="1:37" x14ac:dyDescent="0.25">
      <c r="A6" s="2" t="s">
        <v>3</v>
      </c>
      <c r="B6" s="7">
        <v>0</v>
      </c>
      <c r="C6" s="7">
        <v>2</v>
      </c>
      <c r="D6" s="7">
        <v>2</v>
      </c>
      <c r="E6" s="7">
        <v>1</v>
      </c>
      <c r="F6" s="7">
        <v>1</v>
      </c>
      <c r="G6" s="7">
        <v>2</v>
      </c>
      <c r="H6" s="7">
        <v>1</v>
      </c>
      <c r="I6" s="7">
        <v>0</v>
      </c>
      <c r="J6" s="7">
        <v>1</v>
      </c>
      <c r="K6" s="7">
        <v>1</v>
      </c>
      <c r="L6" s="7">
        <v>2</v>
      </c>
      <c r="M6" s="7">
        <v>1</v>
      </c>
      <c r="N6" s="7">
        <v>2</v>
      </c>
      <c r="O6" s="7">
        <v>1</v>
      </c>
      <c r="P6" s="7">
        <v>2</v>
      </c>
      <c r="Q6" s="7">
        <v>2</v>
      </c>
      <c r="R6" s="7">
        <v>2</v>
      </c>
      <c r="S6" s="7">
        <v>2</v>
      </c>
      <c r="T6" s="7">
        <v>1</v>
      </c>
      <c r="U6" s="7">
        <v>2</v>
      </c>
      <c r="V6" s="7">
        <v>0</v>
      </c>
      <c r="W6" s="7">
        <v>2</v>
      </c>
      <c r="X6" s="7">
        <v>0</v>
      </c>
      <c r="Y6" s="7">
        <v>0</v>
      </c>
      <c r="Z6" s="7">
        <v>1</v>
      </c>
      <c r="AA6" s="7">
        <v>0</v>
      </c>
      <c r="AB6" s="7">
        <v>0</v>
      </c>
      <c r="AC6" s="7">
        <v>0</v>
      </c>
      <c r="AD6" s="7">
        <v>1</v>
      </c>
      <c r="AE6" s="7">
        <v>2</v>
      </c>
      <c r="AF6" s="7">
        <v>0</v>
      </c>
      <c r="AI6" s="2" t="s">
        <v>4</v>
      </c>
      <c r="AJ6" s="1">
        <f>+SUM($B$12:$AF$12)</f>
        <v>58</v>
      </c>
      <c r="AK6" s="4">
        <f t="shared" si="0"/>
        <v>1.8709677419354838</v>
      </c>
    </row>
    <row r="7" spans="1:37" x14ac:dyDescent="0.25">
      <c r="A7" s="2" t="s">
        <v>7</v>
      </c>
      <c r="B7" s="7">
        <v>0</v>
      </c>
      <c r="C7" s="7">
        <v>4</v>
      </c>
      <c r="D7" s="7">
        <v>5</v>
      </c>
      <c r="E7" s="7">
        <v>1</v>
      </c>
      <c r="F7" s="7">
        <v>2</v>
      </c>
      <c r="G7" s="7">
        <v>3</v>
      </c>
      <c r="H7" s="7">
        <v>4</v>
      </c>
      <c r="I7" s="7">
        <v>4</v>
      </c>
      <c r="J7" s="7">
        <v>6</v>
      </c>
      <c r="K7" s="7">
        <v>1</v>
      </c>
      <c r="L7" s="7">
        <v>5</v>
      </c>
      <c r="M7" s="7">
        <v>4</v>
      </c>
      <c r="N7" s="7">
        <v>2</v>
      </c>
      <c r="O7" s="7">
        <v>1</v>
      </c>
      <c r="P7" s="7">
        <v>0</v>
      </c>
      <c r="Q7" s="7">
        <v>4</v>
      </c>
      <c r="R7" s="7">
        <v>4</v>
      </c>
      <c r="S7" s="7">
        <v>2</v>
      </c>
      <c r="T7" s="7">
        <v>6</v>
      </c>
      <c r="U7" s="7">
        <v>6</v>
      </c>
      <c r="V7" s="7">
        <v>1</v>
      </c>
      <c r="W7" s="7">
        <v>6</v>
      </c>
      <c r="X7" s="7">
        <v>4</v>
      </c>
      <c r="Y7" s="7">
        <v>4</v>
      </c>
      <c r="Z7" s="7">
        <v>5</v>
      </c>
      <c r="AA7" s="7">
        <v>2</v>
      </c>
      <c r="AB7" s="7">
        <v>1</v>
      </c>
      <c r="AC7" s="7">
        <v>8</v>
      </c>
      <c r="AD7" s="7">
        <v>9</v>
      </c>
      <c r="AE7" s="7">
        <v>1</v>
      </c>
      <c r="AF7" s="7">
        <v>2</v>
      </c>
      <c r="AI7" s="2" t="s">
        <v>11</v>
      </c>
      <c r="AJ7" s="1">
        <f>+SUM($B$5:$AF$5)</f>
        <v>53</v>
      </c>
      <c r="AK7" s="4">
        <f t="shared" si="0"/>
        <v>1.7096774193548387</v>
      </c>
    </row>
    <row r="8" spans="1:37" x14ac:dyDescent="0.25">
      <c r="A8" s="2" t="s">
        <v>17</v>
      </c>
      <c r="B8" s="7">
        <v>0</v>
      </c>
      <c r="C8" s="7">
        <v>1</v>
      </c>
      <c r="D8" s="7">
        <v>1</v>
      </c>
      <c r="E8" s="7">
        <v>2</v>
      </c>
      <c r="F8" s="7">
        <v>1</v>
      </c>
      <c r="G8" s="7">
        <v>1</v>
      </c>
      <c r="H8" s="7">
        <v>0</v>
      </c>
      <c r="I8" s="7">
        <v>1</v>
      </c>
      <c r="J8" s="7">
        <v>4</v>
      </c>
      <c r="K8" s="7">
        <v>1</v>
      </c>
      <c r="L8" s="7">
        <v>1</v>
      </c>
      <c r="M8" s="7">
        <v>1</v>
      </c>
      <c r="N8" s="7">
        <v>1</v>
      </c>
      <c r="O8" s="7">
        <v>3</v>
      </c>
      <c r="P8" s="7">
        <v>3</v>
      </c>
      <c r="Q8" s="7">
        <v>0</v>
      </c>
      <c r="R8" s="7">
        <v>1</v>
      </c>
      <c r="S8" s="7">
        <v>0</v>
      </c>
      <c r="T8" s="7">
        <v>2</v>
      </c>
      <c r="U8" s="7">
        <v>0</v>
      </c>
      <c r="V8" s="7">
        <v>0</v>
      </c>
      <c r="W8" s="7">
        <v>1</v>
      </c>
      <c r="X8" s="7">
        <v>1</v>
      </c>
      <c r="Y8" s="7">
        <v>1</v>
      </c>
      <c r="Z8" s="7">
        <v>1</v>
      </c>
      <c r="AA8" s="7">
        <v>1</v>
      </c>
      <c r="AB8" s="7">
        <v>1</v>
      </c>
      <c r="AC8" s="7">
        <v>1</v>
      </c>
      <c r="AD8" s="7">
        <v>0</v>
      </c>
      <c r="AE8" s="7">
        <v>0</v>
      </c>
      <c r="AF8" s="7">
        <v>0</v>
      </c>
      <c r="AI8" s="2" t="s">
        <v>18</v>
      </c>
      <c r="AJ8" s="1">
        <f>+SUM($B$10:$AF$10)</f>
        <v>51</v>
      </c>
      <c r="AK8" s="4">
        <f t="shared" si="0"/>
        <v>1.6451612903225807</v>
      </c>
    </row>
    <row r="9" spans="1:37" x14ac:dyDescent="0.25">
      <c r="A9" s="2" t="s">
        <v>6</v>
      </c>
      <c r="B9" s="7">
        <v>1</v>
      </c>
      <c r="C9" s="7">
        <v>1</v>
      </c>
      <c r="D9" s="7">
        <v>1</v>
      </c>
      <c r="E9" s="7">
        <v>3</v>
      </c>
      <c r="F9" s="7">
        <v>3</v>
      </c>
      <c r="G9" s="7">
        <v>0</v>
      </c>
      <c r="H9" s="7">
        <v>2</v>
      </c>
      <c r="I9" s="7">
        <v>1</v>
      </c>
      <c r="J9" s="7">
        <v>1</v>
      </c>
      <c r="K9" s="7">
        <v>1</v>
      </c>
      <c r="L9" s="7">
        <v>3</v>
      </c>
      <c r="M9" s="7">
        <v>1</v>
      </c>
      <c r="N9" s="7">
        <v>2</v>
      </c>
      <c r="O9" s="7">
        <v>1</v>
      </c>
      <c r="P9" s="7">
        <v>1</v>
      </c>
      <c r="Q9" s="7">
        <v>2</v>
      </c>
      <c r="R9" s="7">
        <v>3</v>
      </c>
      <c r="S9" s="7">
        <v>1</v>
      </c>
      <c r="T9" s="7">
        <v>1</v>
      </c>
      <c r="U9" s="7">
        <v>3</v>
      </c>
      <c r="V9" s="7">
        <v>1</v>
      </c>
      <c r="W9" s="7">
        <v>1</v>
      </c>
      <c r="X9" s="7">
        <v>1</v>
      </c>
      <c r="Y9" s="7">
        <v>1</v>
      </c>
      <c r="Z9" s="7">
        <v>2</v>
      </c>
      <c r="AA9" s="7">
        <v>3</v>
      </c>
      <c r="AB9" s="7">
        <v>3</v>
      </c>
      <c r="AC9" s="7">
        <v>1</v>
      </c>
      <c r="AD9" s="7">
        <v>3</v>
      </c>
      <c r="AE9" s="7">
        <v>1</v>
      </c>
      <c r="AF9" s="7">
        <v>1</v>
      </c>
      <c r="AI9" s="2" t="s">
        <v>6</v>
      </c>
      <c r="AJ9" s="1">
        <f>+SUM($B$9:$AF$9)</f>
        <v>50</v>
      </c>
      <c r="AK9" s="4">
        <f t="shared" si="0"/>
        <v>1.6129032258064515</v>
      </c>
    </row>
    <row r="10" spans="1:37" x14ac:dyDescent="0.25">
      <c r="A10" s="2" t="s">
        <v>20</v>
      </c>
      <c r="B10" s="7">
        <v>1</v>
      </c>
      <c r="C10" s="7">
        <v>2</v>
      </c>
      <c r="D10" s="7">
        <v>1</v>
      </c>
      <c r="E10" s="7">
        <v>3</v>
      </c>
      <c r="F10" s="7">
        <v>3</v>
      </c>
      <c r="G10" s="7">
        <v>0</v>
      </c>
      <c r="H10" s="7">
        <v>2</v>
      </c>
      <c r="I10" s="7">
        <v>2</v>
      </c>
      <c r="J10" s="7">
        <v>1</v>
      </c>
      <c r="K10" s="7">
        <v>3</v>
      </c>
      <c r="L10" s="7">
        <v>1</v>
      </c>
      <c r="M10" s="7">
        <v>2</v>
      </c>
      <c r="N10" s="7">
        <v>1</v>
      </c>
      <c r="O10" s="7">
        <v>0</v>
      </c>
      <c r="P10" s="7">
        <v>2</v>
      </c>
      <c r="Q10" s="7">
        <v>4</v>
      </c>
      <c r="R10" s="7">
        <v>2</v>
      </c>
      <c r="S10" s="7">
        <v>2</v>
      </c>
      <c r="T10" s="7">
        <v>1</v>
      </c>
      <c r="U10" s="7">
        <v>1</v>
      </c>
      <c r="V10" s="7">
        <v>1</v>
      </c>
      <c r="W10" s="7">
        <v>1</v>
      </c>
      <c r="X10" s="7">
        <v>2</v>
      </c>
      <c r="Y10" s="7">
        <v>1</v>
      </c>
      <c r="Z10" s="7">
        <v>1</v>
      </c>
      <c r="AA10" s="7">
        <v>2</v>
      </c>
      <c r="AB10" s="7">
        <v>2</v>
      </c>
      <c r="AC10" s="7">
        <v>2</v>
      </c>
      <c r="AD10" s="7">
        <v>2</v>
      </c>
      <c r="AE10" s="7">
        <v>2</v>
      </c>
      <c r="AF10" s="7">
        <v>1</v>
      </c>
      <c r="AI10" s="2" t="s">
        <v>0</v>
      </c>
      <c r="AJ10" s="1">
        <f>+SUM($B$18:$AF$18)</f>
        <v>42</v>
      </c>
      <c r="AK10" s="4">
        <f t="shared" si="0"/>
        <v>1.3548387096774193</v>
      </c>
    </row>
    <row r="11" spans="1:37" x14ac:dyDescent="0.25">
      <c r="A11" s="2" t="s">
        <v>8</v>
      </c>
      <c r="B11" s="7">
        <v>1</v>
      </c>
      <c r="C11" s="7">
        <v>2</v>
      </c>
      <c r="D11" s="7">
        <v>1</v>
      </c>
      <c r="E11" s="7">
        <v>1</v>
      </c>
      <c r="F11" s="7">
        <v>1</v>
      </c>
      <c r="G11" s="7">
        <v>0</v>
      </c>
      <c r="H11" s="7">
        <v>2</v>
      </c>
      <c r="I11" s="7">
        <v>1</v>
      </c>
      <c r="J11" s="7">
        <v>1</v>
      </c>
      <c r="K11" s="7">
        <v>3</v>
      </c>
      <c r="L11" s="7">
        <v>1</v>
      </c>
      <c r="M11" s="7">
        <v>1</v>
      </c>
      <c r="N11" s="7">
        <v>1</v>
      </c>
      <c r="O11" s="7">
        <v>0</v>
      </c>
      <c r="P11" s="7">
        <v>0</v>
      </c>
      <c r="Q11" s="7">
        <v>0</v>
      </c>
      <c r="R11" s="7">
        <v>2</v>
      </c>
      <c r="S11" s="7">
        <v>0</v>
      </c>
      <c r="T11" s="7">
        <v>1</v>
      </c>
      <c r="U11" s="7">
        <v>1</v>
      </c>
      <c r="V11" s="7">
        <v>1</v>
      </c>
      <c r="W11" s="7">
        <v>0</v>
      </c>
      <c r="X11" s="7">
        <v>1</v>
      </c>
      <c r="Y11" s="7">
        <v>0</v>
      </c>
      <c r="Z11" s="7">
        <v>1</v>
      </c>
      <c r="AA11" s="7">
        <v>2</v>
      </c>
      <c r="AB11" s="7">
        <v>2</v>
      </c>
      <c r="AC11" s="7">
        <v>0</v>
      </c>
      <c r="AD11" s="7">
        <v>1</v>
      </c>
      <c r="AE11" s="7">
        <v>0</v>
      </c>
      <c r="AF11" s="7">
        <v>0</v>
      </c>
      <c r="AI11" s="2" t="s">
        <v>10</v>
      </c>
      <c r="AJ11" s="1">
        <f>+SUM($B$4:$AF$4)</f>
        <v>41</v>
      </c>
      <c r="AK11" s="4">
        <f t="shared" si="0"/>
        <v>1.3225806451612903</v>
      </c>
    </row>
    <row r="12" spans="1:37" x14ac:dyDescent="0.25">
      <c r="A12" s="2" t="s">
        <v>4</v>
      </c>
      <c r="B12" s="7">
        <v>1</v>
      </c>
      <c r="C12" s="7">
        <v>2</v>
      </c>
      <c r="D12" s="7">
        <v>2</v>
      </c>
      <c r="E12" s="7">
        <v>1</v>
      </c>
      <c r="F12" s="7">
        <v>2</v>
      </c>
      <c r="G12" s="7">
        <v>3</v>
      </c>
      <c r="H12" s="7">
        <v>1</v>
      </c>
      <c r="I12" s="7">
        <v>0</v>
      </c>
      <c r="J12" s="7">
        <v>2</v>
      </c>
      <c r="K12" s="7">
        <v>1</v>
      </c>
      <c r="L12" s="7">
        <v>4</v>
      </c>
      <c r="M12" s="7">
        <v>1</v>
      </c>
      <c r="N12" s="7">
        <v>5</v>
      </c>
      <c r="O12" s="7">
        <v>2</v>
      </c>
      <c r="P12" s="7">
        <v>1</v>
      </c>
      <c r="Q12" s="7">
        <v>1</v>
      </c>
      <c r="R12" s="7">
        <v>2</v>
      </c>
      <c r="S12" s="7">
        <v>2</v>
      </c>
      <c r="T12" s="7">
        <v>2</v>
      </c>
      <c r="U12" s="7">
        <v>1</v>
      </c>
      <c r="V12" s="7">
        <v>2</v>
      </c>
      <c r="W12" s="7">
        <v>1</v>
      </c>
      <c r="X12" s="7">
        <v>2</v>
      </c>
      <c r="Y12" s="7">
        <v>1</v>
      </c>
      <c r="Z12" s="7">
        <v>2</v>
      </c>
      <c r="AA12" s="7">
        <v>2</v>
      </c>
      <c r="AB12" s="7">
        <v>3</v>
      </c>
      <c r="AC12" s="7">
        <v>1</v>
      </c>
      <c r="AD12" s="7">
        <v>4</v>
      </c>
      <c r="AE12" s="7">
        <v>1</v>
      </c>
      <c r="AF12" s="7">
        <v>3</v>
      </c>
      <c r="AI12" s="2" t="s">
        <v>19</v>
      </c>
      <c r="AJ12" s="1">
        <f>+SUM($B$16:$AF$16)</f>
        <v>41</v>
      </c>
      <c r="AK12" s="4">
        <f t="shared" si="0"/>
        <v>1.3225806451612903</v>
      </c>
    </row>
    <row r="13" spans="1:37" x14ac:dyDescent="0.25">
      <c r="A13" s="2" t="s">
        <v>2</v>
      </c>
      <c r="B13" s="7">
        <v>1</v>
      </c>
      <c r="C13" s="7">
        <v>1</v>
      </c>
      <c r="D13" s="7">
        <v>0</v>
      </c>
      <c r="E13" s="7">
        <v>3</v>
      </c>
      <c r="F13" s="7">
        <v>1</v>
      </c>
      <c r="G13" s="7">
        <v>0</v>
      </c>
      <c r="H13" s="7">
        <v>1</v>
      </c>
      <c r="I13" s="7">
        <v>0</v>
      </c>
      <c r="J13" s="7">
        <v>2</v>
      </c>
      <c r="K13" s="7">
        <v>4</v>
      </c>
      <c r="L13" s="7">
        <v>1</v>
      </c>
      <c r="M13" s="7">
        <v>2</v>
      </c>
      <c r="N13" s="7">
        <v>1</v>
      </c>
      <c r="O13" s="7">
        <v>1</v>
      </c>
      <c r="P13" s="7">
        <v>1</v>
      </c>
      <c r="Q13" s="7">
        <v>1</v>
      </c>
      <c r="R13" s="7">
        <v>4</v>
      </c>
      <c r="S13" s="7">
        <v>1</v>
      </c>
      <c r="T13" s="7">
        <v>0</v>
      </c>
      <c r="U13" s="7">
        <v>1</v>
      </c>
      <c r="V13" s="7">
        <v>0</v>
      </c>
      <c r="W13" s="7">
        <v>2</v>
      </c>
      <c r="X13" s="7">
        <v>1</v>
      </c>
      <c r="Y13" s="7">
        <v>1</v>
      </c>
      <c r="Z13" s="7">
        <v>3</v>
      </c>
      <c r="AA13" s="7">
        <v>2</v>
      </c>
      <c r="AB13" s="7">
        <v>1</v>
      </c>
      <c r="AC13" s="7">
        <v>0</v>
      </c>
      <c r="AD13" s="7">
        <v>1</v>
      </c>
      <c r="AE13" s="7">
        <v>1</v>
      </c>
      <c r="AF13" s="7">
        <v>1</v>
      </c>
      <c r="AI13" s="2" t="s">
        <v>2</v>
      </c>
      <c r="AJ13" s="1">
        <f>+SUM($B$13:$AF$13)</f>
        <v>39</v>
      </c>
      <c r="AK13" s="4">
        <f t="shared" si="0"/>
        <v>1.2580645161290323</v>
      </c>
    </row>
    <row r="14" spans="1:37" x14ac:dyDescent="0.25">
      <c r="A14" s="2" t="s">
        <v>5</v>
      </c>
      <c r="B14" s="7">
        <v>4</v>
      </c>
      <c r="C14" s="7">
        <v>4</v>
      </c>
      <c r="D14" s="7">
        <v>2</v>
      </c>
      <c r="E14" s="7">
        <v>5</v>
      </c>
      <c r="F14" s="7">
        <v>2</v>
      </c>
      <c r="G14" s="7">
        <v>4</v>
      </c>
      <c r="H14" s="7">
        <v>4</v>
      </c>
      <c r="I14" s="7">
        <v>2</v>
      </c>
      <c r="J14" s="7">
        <v>4</v>
      </c>
      <c r="K14" s="7">
        <v>3</v>
      </c>
      <c r="L14" s="7">
        <v>3</v>
      </c>
      <c r="M14" s="7">
        <v>3</v>
      </c>
      <c r="N14" s="7">
        <v>4</v>
      </c>
      <c r="O14" s="7">
        <v>6</v>
      </c>
      <c r="P14" s="7">
        <v>2</v>
      </c>
      <c r="Q14" s="7">
        <v>4</v>
      </c>
      <c r="R14" s="7">
        <v>3</v>
      </c>
      <c r="S14" s="7">
        <v>3</v>
      </c>
      <c r="T14" s="7">
        <v>2</v>
      </c>
      <c r="U14" s="7">
        <v>4</v>
      </c>
      <c r="V14" s="7">
        <v>5</v>
      </c>
      <c r="W14" s="7">
        <v>2</v>
      </c>
      <c r="X14" s="7">
        <v>3</v>
      </c>
      <c r="Y14" s="7">
        <v>3</v>
      </c>
      <c r="Z14" s="7">
        <v>6</v>
      </c>
      <c r="AA14" s="7">
        <v>5</v>
      </c>
      <c r="AB14" s="7">
        <v>4</v>
      </c>
      <c r="AC14" s="7">
        <v>12</v>
      </c>
      <c r="AD14" s="7">
        <v>6</v>
      </c>
      <c r="AE14" s="7">
        <v>1</v>
      </c>
      <c r="AF14" s="7">
        <v>1</v>
      </c>
      <c r="AI14" s="2" t="s">
        <v>3</v>
      </c>
      <c r="AJ14" s="1">
        <f>+SUM($B$6:$AF$6)</f>
        <v>34</v>
      </c>
      <c r="AK14" s="4">
        <f t="shared" si="0"/>
        <v>1.096774193548387</v>
      </c>
    </row>
    <row r="15" spans="1:37" x14ac:dyDescent="0.25">
      <c r="A15" s="2" t="s">
        <v>12</v>
      </c>
      <c r="B15" s="7">
        <v>1</v>
      </c>
      <c r="C15" s="7">
        <v>0</v>
      </c>
      <c r="D15" s="7">
        <v>2</v>
      </c>
      <c r="E15" s="7">
        <v>0</v>
      </c>
      <c r="F15" s="7">
        <v>0</v>
      </c>
      <c r="G15" s="7">
        <v>1</v>
      </c>
      <c r="H15" s="7">
        <v>1</v>
      </c>
      <c r="I15" s="7">
        <v>0</v>
      </c>
      <c r="J15" s="7">
        <v>1</v>
      </c>
      <c r="K15" s="7">
        <v>2</v>
      </c>
      <c r="L15" s="7">
        <v>0</v>
      </c>
      <c r="M15" s="7">
        <v>1</v>
      </c>
      <c r="N15" s="7">
        <v>0</v>
      </c>
      <c r="O15" s="7">
        <v>1</v>
      </c>
      <c r="P15" s="7">
        <v>0</v>
      </c>
      <c r="Q15" s="7">
        <v>1</v>
      </c>
      <c r="R15" s="7">
        <v>0</v>
      </c>
      <c r="S15" s="7">
        <v>1</v>
      </c>
      <c r="T15" s="7">
        <v>1</v>
      </c>
      <c r="U15" s="7">
        <v>0</v>
      </c>
      <c r="V15" s="7">
        <v>0</v>
      </c>
      <c r="W15" s="7">
        <v>1</v>
      </c>
      <c r="X15" s="7">
        <v>1</v>
      </c>
      <c r="Y15" s="7">
        <v>0</v>
      </c>
      <c r="Z15" s="7">
        <v>0</v>
      </c>
      <c r="AA15" s="7">
        <v>1</v>
      </c>
      <c r="AB15" s="7">
        <v>1</v>
      </c>
      <c r="AC15" s="7">
        <v>1</v>
      </c>
      <c r="AD15" s="7">
        <v>0</v>
      </c>
      <c r="AE15" s="7">
        <v>1</v>
      </c>
      <c r="AF15" s="7">
        <v>0</v>
      </c>
      <c r="AI15" s="2" t="s">
        <v>17</v>
      </c>
      <c r="AJ15" s="1">
        <f>+SUM($B$8:$AF$8)</f>
        <v>31</v>
      </c>
      <c r="AK15" s="4">
        <f t="shared" si="0"/>
        <v>1</v>
      </c>
    </row>
    <row r="16" spans="1:37" x14ac:dyDescent="0.25">
      <c r="A16" s="2" t="s">
        <v>19</v>
      </c>
      <c r="B16" s="7">
        <v>0</v>
      </c>
      <c r="C16" s="7">
        <v>2</v>
      </c>
      <c r="D16" s="7">
        <v>1</v>
      </c>
      <c r="E16" s="7">
        <v>2</v>
      </c>
      <c r="F16" s="7">
        <v>1</v>
      </c>
      <c r="G16" s="7">
        <v>2</v>
      </c>
      <c r="H16" s="7">
        <v>1</v>
      </c>
      <c r="I16" s="7">
        <v>2</v>
      </c>
      <c r="J16" s="7">
        <v>1</v>
      </c>
      <c r="K16" s="7">
        <v>2</v>
      </c>
      <c r="L16" s="7">
        <v>1</v>
      </c>
      <c r="M16" s="7">
        <v>1</v>
      </c>
      <c r="N16" s="7">
        <v>1</v>
      </c>
      <c r="O16" s="7">
        <v>1</v>
      </c>
      <c r="P16" s="7">
        <v>0</v>
      </c>
      <c r="Q16" s="7">
        <v>1</v>
      </c>
      <c r="R16" s="7">
        <v>2</v>
      </c>
      <c r="S16" s="7">
        <v>1</v>
      </c>
      <c r="T16" s="7">
        <v>0</v>
      </c>
      <c r="U16" s="7">
        <v>1</v>
      </c>
      <c r="V16" s="7">
        <v>0</v>
      </c>
      <c r="W16" s="7">
        <v>1</v>
      </c>
      <c r="X16" s="7">
        <v>0</v>
      </c>
      <c r="Y16" s="7">
        <v>1</v>
      </c>
      <c r="Z16" s="7">
        <v>4</v>
      </c>
      <c r="AA16" s="7">
        <v>2</v>
      </c>
      <c r="AB16" s="7">
        <v>2</v>
      </c>
      <c r="AC16" s="7">
        <v>2</v>
      </c>
      <c r="AD16" s="7">
        <v>3</v>
      </c>
      <c r="AE16" s="7">
        <v>1</v>
      </c>
      <c r="AF16" s="7">
        <v>2</v>
      </c>
      <c r="AI16" s="2" t="s">
        <v>8</v>
      </c>
      <c r="AJ16" s="1">
        <f>+SUM($B$11:$AF$11)</f>
        <v>28</v>
      </c>
      <c r="AK16" s="4">
        <f t="shared" si="0"/>
        <v>0.90322580645161288</v>
      </c>
    </row>
    <row r="17" spans="1:37" x14ac:dyDescent="0.25">
      <c r="A17" s="2" t="s">
        <v>1</v>
      </c>
      <c r="B17" s="7">
        <v>1</v>
      </c>
      <c r="C17" s="7">
        <v>0</v>
      </c>
      <c r="D17" s="7">
        <v>0</v>
      </c>
      <c r="E17" s="7">
        <v>1</v>
      </c>
      <c r="F17" s="7">
        <v>0</v>
      </c>
      <c r="G17" s="7">
        <v>0</v>
      </c>
      <c r="H17" s="7">
        <v>1</v>
      </c>
      <c r="I17" s="7">
        <v>0</v>
      </c>
      <c r="J17" s="7">
        <v>1</v>
      </c>
      <c r="K17" s="7">
        <v>0</v>
      </c>
      <c r="L17" s="7">
        <v>0</v>
      </c>
      <c r="M17" s="7">
        <v>1</v>
      </c>
      <c r="N17" s="7">
        <v>0</v>
      </c>
      <c r="O17" s="7">
        <v>0</v>
      </c>
      <c r="P17" s="7">
        <v>1</v>
      </c>
      <c r="Q17" s="7">
        <v>0</v>
      </c>
      <c r="R17" s="7">
        <v>1</v>
      </c>
      <c r="S17" s="7">
        <v>1</v>
      </c>
      <c r="T17" s="7">
        <v>1</v>
      </c>
      <c r="U17" s="7">
        <v>0</v>
      </c>
      <c r="V17" s="7">
        <v>1</v>
      </c>
      <c r="W17" s="7">
        <v>1</v>
      </c>
      <c r="X17" s="7">
        <v>0</v>
      </c>
      <c r="Y17" s="7">
        <v>0</v>
      </c>
      <c r="Z17" s="7">
        <v>1</v>
      </c>
      <c r="AA17" s="7">
        <v>0</v>
      </c>
      <c r="AB17" s="7">
        <v>1</v>
      </c>
      <c r="AC17" s="7">
        <v>1</v>
      </c>
      <c r="AD17" s="7">
        <v>1</v>
      </c>
      <c r="AE17" s="7">
        <v>0</v>
      </c>
      <c r="AF17" s="7">
        <v>0</v>
      </c>
      <c r="AI17" s="2" t="s">
        <v>12</v>
      </c>
      <c r="AJ17" s="1">
        <f>+SUM($B$15:$AF$15)</f>
        <v>19</v>
      </c>
      <c r="AK17" s="4">
        <f t="shared" si="0"/>
        <v>0.61290322580645162</v>
      </c>
    </row>
    <row r="18" spans="1:37" x14ac:dyDescent="0.25">
      <c r="A18" s="2" t="s">
        <v>0</v>
      </c>
      <c r="B18" s="7">
        <v>2</v>
      </c>
      <c r="C18" s="7">
        <v>1</v>
      </c>
      <c r="D18" s="7">
        <v>2</v>
      </c>
      <c r="E18" s="7">
        <v>3</v>
      </c>
      <c r="F18" s="7">
        <v>2</v>
      </c>
      <c r="G18" s="7">
        <v>1</v>
      </c>
      <c r="H18" s="7">
        <v>1</v>
      </c>
      <c r="I18" s="7">
        <v>1</v>
      </c>
      <c r="J18" s="7">
        <v>1</v>
      </c>
      <c r="K18" s="7">
        <v>1</v>
      </c>
      <c r="L18" s="7">
        <v>1</v>
      </c>
      <c r="M18" s="7">
        <v>2</v>
      </c>
      <c r="N18" s="7">
        <v>2</v>
      </c>
      <c r="O18" s="7">
        <v>1</v>
      </c>
      <c r="P18" s="7">
        <v>1</v>
      </c>
      <c r="Q18" s="7">
        <v>2</v>
      </c>
      <c r="R18" s="7">
        <v>3</v>
      </c>
      <c r="S18" s="7">
        <v>3</v>
      </c>
      <c r="T18" s="7">
        <v>1</v>
      </c>
      <c r="U18" s="7">
        <v>1</v>
      </c>
      <c r="V18" s="7">
        <v>1</v>
      </c>
      <c r="W18" s="7">
        <v>1</v>
      </c>
      <c r="X18" s="7">
        <v>2</v>
      </c>
      <c r="Y18" s="7">
        <v>1</v>
      </c>
      <c r="Z18" s="7">
        <v>0</v>
      </c>
      <c r="AA18" s="7">
        <v>1</v>
      </c>
      <c r="AB18" s="7">
        <v>1</v>
      </c>
      <c r="AC18" s="7">
        <v>1</v>
      </c>
      <c r="AD18" s="7">
        <v>0</v>
      </c>
      <c r="AE18" s="7">
        <v>1</v>
      </c>
      <c r="AF18" s="7">
        <v>1</v>
      </c>
      <c r="AI18" s="2" t="s">
        <v>1</v>
      </c>
      <c r="AJ18" s="1">
        <f>+SUM($B$17:$AF$17)</f>
        <v>15</v>
      </c>
      <c r="AK18" s="4">
        <f t="shared" si="0"/>
        <v>0.4838709677419355</v>
      </c>
    </row>
    <row r="19" spans="1:37" x14ac:dyDescent="0.25">
      <c r="A19" s="3" t="s">
        <v>15</v>
      </c>
      <c r="B19" s="7">
        <f>+SUM(B3:B18)</f>
        <v>18</v>
      </c>
      <c r="C19" s="7">
        <f t="shared" ref="C19:AF19" si="1">+SUM(C3:C18)</f>
        <v>26</v>
      </c>
      <c r="D19" s="7">
        <f t="shared" si="1"/>
        <v>22</v>
      </c>
      <c r="E19" s="7">
        <f t="shared" si="1"/>
        <v>30</v>
      </c>
      <c r="F19" s="7">
        <f t="shared" si="1"/>
        <v>25</v>
      </c>
      <c r="G19" s="7">
        <f t="shared" si="1"/>
        <v>21</v>
      </c>
      <c r="H19" s="7">
        <f t="shared" si="1"/>
        <v>26</v>
      </c>
      <c r="I19" s="7">
        <f t="shared" si="1"/>
        <v>17</v>
      </c>
      <c r="J19" s="7">
        <f t="shared" si="1"/>
        <v>33</v>
      </c>
      <c r="K19" s="7">
        <f t="shared" si="1"/>
        <v>27</v>
      </c>
      <c r="L19" s="7">
        <f t="shared" si="1"/>
        <v>29</v>
      </c>
      <c r="M19" s="7">
        <f t="shared" si="1"/>
        <v>25</v>
      </c>
      <c r="N19" s="7">
        <f t="shared" si="1"/>
        <v>28</v>
      </c>
      <c r="O19" s="7">
        <f t="shared" si="1"/>
        <v>22</v>
      </c>
      <c r="P19" s="7">
        <f t="shared" si="1"/>
        <v>18</v>
      </c>
      <c r="Q19" s="7">
        <f t="shared" si="1"/>
        <v>27</v>
      </c>
      <c r="R19" s="7">
        <f t="shared" si="1"/>
        <v>32</v>
      </c>
      <c r="S19" s="7">
        <f t="shared" si="1"/>
        <v>24</v>
      </c>
      <c r="T19" s="7">
        <f t="shared" si="1"/>
        <v>25</v>
      </c>
      <c r="U19" s="7">
        <f t="shared" si="1"/>
        <v>28</v>
      </c>
      <c r="V19" s="7">
        <f t="shared" si="1"/>
        <v>18</v>
      </c>
      <c r="W19" s="7">
        <f t="shared" si="1"/>
        <v>26</v>
      </c>
      <c r="X19" s="7">
        <f t="shared" si="1"/>
        <v>26</v>
      </c>
      <c r="Y19" s="7">
        <f t="shared" si="1"/>
        <v>19</v>
      </c>
      <c r="Z19" s="7">
        <f t="shared" si="1"/>
        <v>34</v>
      </c>
      <c r="AA19" s="7">
        <f t="shared" si="1"/>
        <v>27</v>
      </c>
      <c r="AB19" s="7">
        <f t="shared" si="1"/>
        <v>27</v>
      </c>
      <c r="AC19" s="7">
        <f t="shared" si="1"/>
        <v>36</v>
      </c>
      <c r="AD19" s="7">
        <f t="shared" si="1"/>
        <v>39</v>
      </c>
      <c r="AE19" s="7">
        <f t="shared" si="1"/>
        <v>16</v>
      </c>
      <c r="AF19" s="7">
        <f t="shared" si="1"/>
        <v>17</v>
      </c>
    </row>
    <row r="20" spans="1:37" x14ac:dyDescent="0.25">
      <c r="AI20" s="3" t="s">
        <v>15</v>
      </c>
      <c r="AJ20" s="1">
        <f>+SUM(AJ3:AJ18)</f>
        <v>788</v>
      </c>
      <c r="AK20" s="4">
        <f>+AJ20/31</f>
        <v>25.419354838709676</v>
      </c>
    </row>
  </sheetData>
  <sortState xmlns:xlrd2="http://schemas.microsoft.com/office/spreadsheetml/2017/richdata2" ref="AI3:AK18">
    <sortCondition descending="1" ref="AJ3:AJ18"/>
  </sortState>
  <conditionalFormatting sqref="B3:AF18">
    <cfRule type="colorScale" priority="3">
      <colorScale>
        <cfvo type="min"/>
        <cfvo type="max"/>
        <color rgb="FFFCFCFF"/>
        <color rgb="FFF8696B"/>
      </colorScale>
    </cfRule>
    <cfRule type="colorScale" priority="4">
      <colorScale>
        <cfvo type="min"/>
        <cfvo type="max"/>
        <color rgb="FFFCFCFF"/>
        <color rgb="FFF8696B"/>
      </colorScale>
    </cfRule>
  </conditionalFormatting>
  <conditionalFormatting sqref="B19:AF19">
    <cfRule type="colorScale" priority="1">
      <colorScale>
        <cfvo type="min"/>
        <cfvo type="max"/>
        <color rgb="FFFCFCFF"/>
        <color rgb="FFF8696B"/>
      </colorScale>
    </cfRule>
    <cfRule type="colorScale" priority="2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ignoredErrors>
    <ignoredError sqref="B19 C19:AF19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Shit 2024</vt:lpstr>
      <vt:lpstr>Shit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 Gonzalez</dc:creator>
  <cp:lastModifiedBy>Didier Gonzalez</cp:lastModifiedBy>
  <dcterms:created xsi:type="dcterms:W3CDTF">2023-09-27T12:22:47Z</dcterms:created>
  <dcterms:modified xsi:type="dcterms:W3CDTF">2026-01-02T18:54:30Z</dcterms:modified>
</cp:coreProperties>
</file>